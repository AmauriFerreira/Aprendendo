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135" windowWidth="21075" windowHeight="9780"/>
  </bookViews>
  <sheets>
    <sheet name="Plan1" sheetId="1" r:id="rId1"/>
    <sheet name="Plan2" sheetId="2" r:id="rId2"/>
    <sheet name="Plan3" sheetId="3" r:id="rId3"/>
  </sheets>
  <functionGroups/>
  <definedNames>
    <definedName name="tabela">Plan2!$A$7:$F$43</definedName>
  </definedNames>
  <calcPr calcId="125725"/>
</workbook>
</file>

<file path=xl/calcChain.xml><?xml version="1.0" encoding="utf-8"?>
<calcChain xmlns="http://schemas.openxmlformats.org/spreadsheetml/2006/main">
  <c r="B4" i="1"/>
  <c r="D28"/>
  <c r="F6" i="3"/>
  <c r="F7"/>
  <c r="F8"/>
  <c r="F9"/>
  <c r="F10"/>
  <c r="F11"/>
  <c r="F12"/>
  <c r="F13"/>
  <c r="F14"/>
  <c r="F10" i="2"/>
  <c r="F12"/>
  <c r="F14"/>
  <c r="F16"/>
  <c r="F18"/>
  <c r="F20"/>
  <c r="F22"/>
  <c r="F24"/>
  <c r="F26"/>
  <c r="F28"/>
  <c r="F30"/>
  <c r="F32"/>
  <c r="F34"/>
  <c r="F36"/>
  <c r="F38"/>
  <c r="F40"/>
  <c r="F42"/>
  <c r="F8"/>
  <c r="F33"/>
  <c r="F37"/>
  <c r="F41"/>
  <c r="F9"/>
  <c r="F11"/>
  <c r="F13"/>
  <c r="F15"/>
  <c r="F17"/>
  <c r="F19"/>
  <c r="F21"/>
  <c r="F23"/>
  <c r="F25"/>
  <c r="F27"/>
  <c r="F29"/>
  <c r="F31"/>
  <c r="F35"/>
  <c r="F39"/>
  <c r="F43"/>
  <c r="C4" i="1" l="1"/>
  <c r="F28" s="1"/>
  <c r="E28"/>
  <c r="G8" i="2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D4" i="1" l="1"/>
</calcChain>
</file>

<file path=xl/sharedStrings.xml><?xml version="1.0" encoding="utf-8"?>
<sst xmlns="http://schemas.openxmlformats.org/spreadsheetml/2006/main" count="52" uniqueCount="50">
  <si>
    <t>Nome</t>
  </si>
  <si>
    <t>Convocação para Matrícula</t>
  </si>
  <si>
    <t>Vestibular 2016</t>
  </si>
  <si>
    <t>LETICIA LARA FELIX LOPES</t>
  </si>
  <si>
    <t>LETICIA XAVIER FELIX</t>
  </si>
  <si>
    <t>LISSA REBESCHINI PERCHE</t>
  </si>
  <si>
    <t>LUAN FIGUEIREDO FERNANDES</t>
  </si>
  <si>
    <t>LUCAS RICARDO BENFATTI MARSILLI</t>
  </si>
  <si>
    <t>LUCAS VINICIUS SERAFIN MAKARAUSKY</t>
  </si>
  <si>
    <t>MARCEL PORTO DE CERQUEIRA LEITE</t>
  </si>
  <si>
    <t>MARCELO SERAFIM JORGE</t>
  </si>
  <si>
    <t>MARCOS VINICIUS FERREIRA RAMOS</t>
  </si>
  <si>
    <t>MARIA EDUARDA SLHESSARENKO FRAIFE BARRETO</t>
  </si>
  <si>
    <t>MARIA PAULA PEREIRA DE OLIVEIRA</t>
  </si>
  <si>
    <t>MARIANA BRITO MARTIRE</t>
  </si>
  <si>
    <t>MARIANA MATOS DE VASCONCELOS</t>
  </si>
  <si>
    <t>MARINA NAHAS MEGA</t>
  </si>
  <si>
    <t>MATHEUS BARBOSA GASTALDO</t>
  </si>
  <si>
    <t>MATHEUS CESTARI</t>
  </si>
  <si>
    <t>MATHEUS MARQUES CHAVES BISPO</t>
  </si>
  <si>
    <t>MAYARA BOSQUE MARANGON</t>
  </si>
  <si>
    <t>MILLENA CAMPOS VILELA RESENDE</t>
  </si>
  <si>
    <t>MIRELI DA SILVEIRA GALVANI</t>
  </si>
  <si>
    <t>NICOLE ROMANI LAUAND</t>
  </si>
  <si>
    <t>OTAVIO ROSA KEMPF</t>
  </si>
  <si>
    <t>PAULA HSUAN</t>
  </si>
  <si>
    <t>PEDRO SANTOS MORAES</t>
  </si>
  <si>
    <t>RAFAEL PIORUM SENEDEZI</t>
  </si>
  <si>
    <t>RAFAELA PALHANO SIFUENTES MELO</t>
  </si>
  <si>
    <t>REBECA SILVA</t>
  </si>
  <si>
    <t>ROSANGELA PRESTI ALVES</t>
  </si>
  <si>
    <t>RUBENS AUGUSTO ZAPPONI NATHAN</t>
  </si>
  <si>
    <t>TATIANA TAKETANI KATO</t>
  </si>
  <si>
    <t>VANESSA DO CARMO SOUSA</t>
  </si>
  <si>
    <t>VICTOR DE MORAES CARVALHO</t>
  </si>
  <si>
    <t>VICTORIA HELENA STELZER ROCHA</t>
  </si>
  <si>
    <t>VINICIUS GODINHO DE SOUZA</t>
  </si>
  <si>
    <t>VINICIUS IMAKAWA DE LUCCA</t>
  </si>
  <si>
    <t>WILLIAM BOTTEON CORTEZ</t>
  </si>
  <si>
    <t>Exatas</t>
  </si>
  <si>
    <t xml:space="preserve">Humanas </t>
  </si>
  <si>
    <t>Biológicas</t>
  </si>
  <si>
    <t>NOTA FINAL</t>
  </si>
  <si>
    <t>NUMERO DE INSCRIÇÃO</t>
  </si>
  <si>
    <t>Faculdade de Medicina</t>
  </si>
  <si>
    <t>Nota</t>
  </si>
  <si>
    <t>Situaçao</t>
  </si>
  <si>
    <t>Classificação</t>
  </si>
  <si>
    <t>ml</t>
  </si>
  <si>
    <t>litro</t>
  </si>
</sst>
</file>

<file path=xl/styles.xml><?xml version="1.0" encoding="utf-8"?>
<styleSheet xmlns="http://schemas.openxmlformats.org/spreadsheetml/2006/main">
  <numFmts count="1">
    <numFmt numFmtId="164" formatCode="000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3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 vertical="center"/>
    </xf>
    <xf numFmtId="0" fontId="0" fillId="2" borderId="1" xfId="0" applyFill="1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F28"/>
  <sheetViews>
    <sheetView tabSelected="1" workbookViewId="0">
      <selection activeCell="A5" sqref="A5"/>
    </sheetView>
  </sheetViews>
  <sheetFormatPr defaultRowHeight="15"/>
  <cols>
    <col min="1" max="1" width="24.28515625" customWidth="1"/>
    <col min="2" max="2" width="57.42578125" customWidth="1"/>
    <col min="3" max="3" width="23.5703125" customWidth="1"/>
    <col min="4" max="4" width="28.85546875" customWidth="1"/>
  </cols>
  <sheetData>
    <row r="3" spans="1:4" ht="15.75">
      <c r="A3" s="11" t="s">
        <v>43</v>
      </c>
      <c r="B3" s="9" t="s">
        <v>0</v>
      </c>
      <c r="C3" s="10" t="s">
        <v>45</v>
      </c>
      <c r="D3" s="10" t="s">
        <v>46</v>
      </c>
    </row>
    <row r="4" spans="1:4" ht="21" customHeight="1">
      <c r="A4" s="5">
        <v>5</v>
      </c>
      <c r="B4" s="12" t="str">
        <f>VLOOKUP(A4,tabela,2)</f>
        <v>LUCAS RICARDO BENFATTI MARSILLI</v>
      </c>
      <c r="C4" s="12">
        <f>VLOOKUP(A4,tabela,6)</f>
        <v>690</v>
      </c>
      <c r="D4" s="12" t="str">
        <f>IF(C4&gt;=700,"aprovado","reprovado")</f>
        <v>reprovado</v>
      </c>
    </row>
    <row r="17" spans="4:6">
      <c r="D17" s="12"/>
    </row>
    <row r="28" spans="4:6">
      <c r="D28" t="str">
        <f>VLOOKUP(A4,tabela,2)</f>
        <v>LUCAS RICARDO BENFATTI MARSILLI</v>
      </c>
      <c r="E28">
        <f>VLOOKUP(A4,tabela,6)</f>
        <v>690</v>
      </c>
      <c r="F28" t="str">
        <f>IF(C4&gt;=700,"aprovado","reprovado")</f>
        <v>reprovado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2:G43"/>
  <sheetViews>
    <sheetView workbookViewId="0">
      <selection activeCell="A8" sqref="A8"/>
    </sheetView>
  </sheetViews>
  <sheetFormatPr defaultRowHeight="15"/>
  <cols>
    <col min="1" max="1" width="21" customWidth="1"/>
    <col min="2" max="2" width="62.5703125" customWidth="1"/>
    <col min="3" max="3" width="6.5703125" bestFit="1" customWidth="1"/>
    <col min="4" max="4" width="9.5703125" bestFit="1" customWidth="1"/>
    <col min="5" max="5" width="9.85546875" bestFit="1" customWidth="1"/>
    <col min="6" max="6" width="22.28515625" customWidth="1"/>
    <col min="7" max="7" width="13.42578125" customWidth="1"/>
  </cols>
  <sheetData>
    <row r="2" spans="1:7" ht="23.25">
      <c r="B2" s="3" t="s">
        <v>1</v>
      </c>
    </row>
    <row r="3" spans="1:7" ht="23.25">
      <c r="B3" s="3" t="s">
        <v>2</v>
      </c>
    </row>
    <row r="4" spans="1:7" ht="23.25">
      <c r="B4" s="3" t="s">
        <v>44</v>
      </c>
    </row>
    <row r="5" spans="1:7" ht="23.25">
      <c r="B5" s="3"/>
      <c r="C5" s="1"/>
    </row>
    <row r="6" spans="1:7" ht="16.5">
      <c r="B6" s="4"/>
    </row>
    <row r="7" spans="1:7" ht="16.5">
      <c r="A7" s="7" t="s">
        <v>43</v>
      </c>
      <c r="B7" s="8" t="s">
        <v>0</v>
      </c>
      <c r="C7" s="7" t="s">
        <v>39</v>
      </c>
      <c r="D7" s="7" t="s">
        <v>40</v>
      </c>
      <c r="E7" s="7" t="s">
        <v>41</v>
      </c>
      <c r="F7" s="7" t="s">
        <v>42</v>
      </c>
      <c r="G7" s="13" t="s">
        <v>47</v>
      </c>
    </row>
    <row r="8" spans="1:7" ht="16.5">
      <c r="A8" s="5">
        <v>1</v>
      </c>
      <c r="B8" s="6" t="s">
        <v>3</v>
      </c>
      <c r="C8" s="5">
        <v>20</v>
      </c>
      <c r="D8" s="5">
        <v>15</v>
      </c>
      <c r="E8" s="5">
        <v>20</v>
      </c>
      <c r="F8" s="5">
        <f>notavestibular(C8,E8,D8)</f>
        <v>750</v>
      </c>
      <c r="G8" s="2" t="str">
        <f>IF(F8&gt;=700,"aprovado","reprovado")</f>
        <v>aprovado</v>
      </c>
    </row>
    <row r="9" spans="1:7" ht="16.5">
      <c r="A9" s="5">
        <v>2</v>
      </c>
      <c r="B9" s="6" t="s">
        <v>4</v>
      </c>
      <c r="C9" s="5">
        <v>16</v>
      </c>
      <c r="D9" s="5">
        <v>16</v>
      </c>
      <c r="E9" s="5">
        <v>23</v>
      </c>
      <c r="F9" s="5">
        <f t="shared" ref="F9:F43" si="0">notavestibular(C9,E9,D9)</f>
        <v>780</v>
      </c>
      <c r="G9" s="2" t="str">
        <f t="shared" ref="G9:G43" si="1">IF(F9&gt;=700,"aprovado","reprovado")</f>
        <v>aprovado</v>
      </c>
    </row>
    <row r="10" spans="1:7" ht="16.5">
      <c r="A10" s="5">
        <v>3</v>
      </c>
      <c r="B10" s="6" t="s">
        <v>5</v>
      </c>
      <c r="C10" s="5">
        <v>13</v>
      </c>
      <c r="D10" s="5">
        <v>14</v>
      </c>
      <c r="E10" s="5">
        <v>24</v>
      </c>
      <c r="F10" s="5">
        <f t="shared" si="0"/>
        <v>750</v>
      </c>
      <c r="G10" s="2" t="str">
        <f t="shared" si="1"/>
        <v>aprovado</v>
      </c>
    </row>
    <row r="11" spans="1:7" ht="16.5">
      <c r="A11" s="5">
        <v>4</v>
      </c>
      <c r="B11" s="6" t="s">
        <v>6</v>
      </c>
      <c r="C11" s="5">
        <v>19</v>
      </c>
      <c r="D11" s="5">
        <v>18</v>
      </c>
      <c r="E11" s="5">
        <v>15</v>
      </c>
      <c r="F11" s="5">
        <f t="shared" si="0"/>
        <v>670</v>
      </c>
      <c r="G11" s="2" t="str">
        <f t="shared" si="1"/>
        <v>reprovado</v>
      </c>
    </row>
    <row r="12" spans="1:7" ht="16.5">
      <c r="A12" s="5">
        <v>5</v>
      </c>
      <c r="B12" s="6" t="s">
        <v>7</v>
      </c>
      <c r="C12" s="5">
        <v>18</v>
      </c>
      <c r="D12" s="5">
        <v>19</v>
      </c>
      <c r="E12" s="5">
        <v>16</v>
      </c>
      <c r="F12" s="5">
        <f t="shared" si="0"/>
        <v>690</v>
      </c>
      <c r="G12" s="2" t="str">
        <f t="shared" si="1"/>
        <v>reprovado</v>
      </c>
    </row>
    <row r="13" spans="1:7" ht="16.5">
      <c r="A13" s="5">
        <v>6</v>
      </c>
      <c r="B13" s="6" t="s">
        <v>8</v>
      </c>
      <c r="C13" s="5">
        <v>12</v>
      </c>
      <c r="D13" s="5">
        <v>17</v>
      </c>
      <c r="E13" s="5">
        <v>18</v>
      </c>
      <c r="F13" s="5">
        <f t="shared" si="0"/>
        <v>650</v>
      </c>
      <c r="G13" s="2" t="str">
        <f t="shared" si="1"/>
        <v>reprovado</v>
      </c>
    </row>
    <row r="14" spans="1:7" ht="16.5">
      <c r="A14" s="5">
        <v>7</v>
      </c>
      <c r="B14" s="6" t="s">
        <v>9</v>
      </c>
      <c r="C14" s="5">
        <v>21</v>
      </c>
      <c r="D14" s="5">
        <v>15</v>
      </c>
      <c r="E14" s="5">
        <v>17</v>
      </c>
      <c r="F14" s="5">
        <f t="shared" si="0"/>
        <v>700</v>
      </c>
      <c r="G14" s="2" t="str">
        <f t="shared" si="1"/>
        <v>aprovado</v>
      </c>
    </row>
    <row r="15" spans="1:7" ht="16.5">
      <c r="A15" s="5">
        <v>8</v>
      </c>
      <c r="B15" s="6" t="s">
        <v>10</v>
      </c>
      <c r="C15" s="5">
        <v>20</v>
      </c>
      <c r="D15" s="5">
        <v>16</v>
      </c>
      <c r="E15" s="5">
        <v>14</v>
      </c>
      <c r="F15" s="5">
        <f t="shared" si="0"/>
        <v>640</v>
      </c>
      <c r="G15" s="2" t="str">
        <f t="shared" si="1"/>
        <v>reprovado</v>
      </c>
    </row>
    <row r="16" spans="1:7" ht="16.5">
      <c r="A16" s="5">
        <v>9</v>
      </c>
      <c r="B16" s="6" t="s">
        <v>11</v>
      </c>
      <c r="C16" s="5">
        <v>18</v>
      </c>
      <c r="D16" s="5">
        <v>20</v>
      </c>
      <c r="E16" s="5">
        <v>13</v>
      </c>
      <c r="F16" s="5">
        <f t="shared" si="0"/>
        <v>640</v>
      </c>
      <c r="G16" s="2" t="str">
        <f t="shared" si="1"/>
        <v>reprovado</v>
      </c>
    </row>
    <row r="17" spans="1:7" ht="16.5">
      <c r="A17" s="5">
        <v>10</v>
      </c>
      <c r="B17" s="6" t="s">
        <v>12</v>
      </c>
      <c r="C17" s="5">
        <v>15</v>
      </c>
      <c r="D17" s="5">
        <v>21</v>
      </c>
      <c r="E17" s="5">
        <v>15</v>
      </c>
      <c r="F17" s="5">
        <f t="shared" si="0"/>
        <v>660</v>
      </c>
      <c r="G17" s="2" t="str">
        <f t="shared" si="1"/>
        <v>reprovado</v>
      </c>
    </row>
    <row r="18" spans="1:7" ht="16.5">
      <c r="A18" s="5">
        <v>11</v>
      </c>
      <c r="B18" s="6" t="s">
        <v>13</v>
      </c>
      <c r="C18" s="5">
        <v>13</v>
      </c>
      <c r="D18" s="5">
        <v>16</v>
      </c>
      <c r="E18" s="5">
        <v>21</v>
      </c>
      <c r="F18" s="5">
        <f t="shared" si="0"/>
        <v>710</v>
      </c>
      <c r="G18" s="2" t="str">
        <f t="shared" si="1"/>
        <v>aprovado</v>
      </c>
    </row>
    <row r="19" spans="1:7" ht="16.5">
      <c r="A19" s="5">
        <v>12</v>
      </c>
      <c r="B19" s="6" t="s">
        <v>14</v>
      </c>
      <c r="C19" s="5">
        <v>18</v>
      </c>
      <c r="D19" s="5">
        <v>19</v>
      </c>
      <c r="E19" s="5">
        <v>23</v>
      </c>
      <c r="F19" s="5">
        <f t="shared" si="0"/>
        <v>830</v>
      </c>
      <c r="G19" s="2" t="str">
        <f t="shared" si="1"/>
        <v>aprovado</v>
      </c>
    </row>
    <row r="20" spans="1:7" ht="16.5">
      <c r="A20" s="5">
        <v>13</v>
      </c>
      <c r="B20" s="6" t="s">
        <v>15</v>
      </c>
      <c r="C20" s="5">
        <v>19</v>
      </c>
      <c r="D20" s="5">
        <v>21</v>
      </c>
      <c r="E20" s="5">
        <v>19</v>
      </c>
      <c r="F20" s="5">
        <f t="shared" si="0"/>
        <v>780</v>
      </c>
      <c r="G20" s="2" t="str">
        <f t="shared" si="1"/>
        <v>aprovado</v>
      </c>
    </row>
    <row r="21" spans="1:7" ht="16.5">
      <c r="A21" s="5">
        <v>14</v>
      </c>
      <c r="B21" s="6" t="s">
        <v>16</v>
      </c>
      <c r="C21" s="5">
        <v>22</v>
      </c>
      <c r="D21" s="5">
        <v>20</v>
      </c>
      <c r="E21" s="5">
        <v>18</v>
      </c>
      <c r="F21" s="5">
        <f t="shared" si="0"/>
        <v>780</v>
      </c>
      <c r="G21" s="2" t="str">
        <f t="shared" si="1"/>
        <v>aprovado</v>
      </c>
    </row>
    <row r="22" spans="1:7" ht="16.5">
      <c r="A22" s="5">
        <v>15</v>
      </c>
      <c r="B22" s="6" t="s">
        <v>17</v>
      </c>
      <c r="C22" s="5">
        <v>23</v>
      </c>
      <c r="D22" s="5">
        <v>23</v>
      </c>
      <c r="E22" s="5">
        <v>16</v>
      </c>
      <c r="F22" s="5">
        <f t="shared" si="0"/>
        <v>780</v>
      </c>
      <c r="G22" s="2" t="str">
        <f t="shared" si="1"/>
        <v>aprovado</v>
      </c>
    </row>
    <row r="23" spans="1:7" ht="16.5">
      <c r="A23" s="5">
        <v>16</v>
      </c>
      <c r="B23" s="6" t="s">
        <v>18</v>
      </c>
      <c r="C23" s="5">
        <v>24</v>
      </c>
      <c r="D23" s="5">
        <v>24</v>
      </c>
      <c r="E23" s="5">
        <v>17</v>
      </c>
      <c r="F23" s="5">
        <f t="shared" si="0"/>
        <v>820</v>
      </c>
      <c r="G23" s="2" t="str">
        <f t="shared" si="1"/>
        <v>aprovado</v>
      </c>
    </row>
    <row r="24" spans="1:7" ht="16.5">
      <c r="A24" s="5">
        <v>17</v>
      </c>
      <c r="B24" s="6" t="s">
        <v>19</v>
      </c>
      <c r="C24" s="5">
        <v>18</v>
      </c>
      <c r="D24" s="5">
        <v>19</v>
      </c>
      <c r="E24" s="5">
        <v>14</v>
      </c>
      <c r="F24" s="5">
        <f t="shared" si="0"/>
        <v>650</v>
      </c>
      <c r="G24" s="2" t="str">
        <f t="shared" si="1"/>
        <v>reprovado</v>
      </c>
    </row>
    <row r="25" spans="1:7" ht="16.5">
      <c r="A25" s="5">
        <v>18</v>
      </c>
      <c r="B25" s="6" t="s">
        <v>20</v>
      </c>
      <c r="C25" s="5">
        <v>16</v>
      </c>
      <c r="D25" s="5">
        <v>17</v>
      </c>
      <c r="E25" s="5">
        <v>23</v>
      </c>
      <c r="F25" s="5">
        <f t="shared" si="0"/>
        <v>790</v>
      </c>
      <c r="G25" s="2" t="str">
        <f t="shared" si="1"/>
        <v>aprovado</v>
      </c>
    </row>
    <row r="26" spans="1:7" ht="16.5">
      <c r="A26" s="5">
        <v>19</v>
      </c>
      <c r="B26" s="6" t="s">
        <v>21</v>
      </c>
      <c r="C26" s="5">
        <v>14</v>
      </c>
      <c r="D26" s="5">
        <v>15</v>
      </c>
      <c r="E26" s="5">
        <v>24</v>
      </c>
      <c r="F26" s="5">
        <f t="shared" si="0"/>
        <v>770</v>
      </c>
      <c r="G26" s="2" t="str">
        <f t="shared" si="1"/>
        <v>aprovado</v>
      </c>
    </row>
    <row r="27" spans="1:7" ht="16.5">
      <c r="A27" s="5">
        <v>20</v>
      </c>
      <c r="B27" s="6" t="s">
        <v>22</v>
      </c>
      <c r="C27" s="5">
        <v>17</v>
      </c>
      <c r="D27" s="5">
        <v>18</v>
      </c>
      <c r="E27" s="5">
        <v>20</v>
      </c>
      <c r="F27" s="5">
        <f t="shared" si="0"/>
        <v>750</v>
      </c>
      <c r="G27" s="2" t="str">
        <f t="shared" si="1"/>
        <v>aprovado</v>
      </c>
    </row>
    <row r="28" spans="1:7" ht="16.5">
      <c r="A28" s="5">
        <v>21</v>
      </c>
      <c r="B28" s="6" t="s">
        <v>23</v>
      </c>
      <c r="C28" s="5">
        <v>15</v>
      </c>
      <c r="D28" s="5">
        <v>19</v>
      </c>
      <c r="E28" s="5">
        <v>19</v>
      </c>
      <c r="F28" s="5">
        <f t="shared" si="0"/>
        <v>720</v>
      </c>
      <c r="G28" s="2" t="str">
        <f t="shared" si="1"/>
        <v>aprovado</v>
      </c>
    </row>
    <row r="29" spans="1:7" ht="16.5">
      <c r="A29" s="5">
        <v>22</v>
      </c>
      <c r="B29" s="6" t="s">
        <v>24</v>
      </c>
      <c r="C29" s="5">
        <v>19</v>
      </c>
      <c r="D29" s="5">
        <v>12</v>
      </c>
      <c r="E29" s="5">
        <v>15</v>
      </c>
      <c r="F29" s="5">
        <f t="shared" si="0"/>
        <v>610</v>
      </c>
      <c r="G29" s="2" t="str">
        <f t="shared" si="1"/>
        <v>reprovado</v>
      </c>
    </row>
    <row r="30" spans="1:7" ht="16.5">
      <c r="A30" s="5">
        <v>23</v>
      </c>
      <c r="B30" s="6" t="s">
        <v>25</v>
      </c>
      <c r="C30" s="5">
        <v>12</v>
      </c>
      <c r="D30" s="5">
        <v>15</v>
      </c>
      <c r="E30" s="5">
        <v>17</v>
      </c>
      <c r="F30" s="5">
        <f t="shared" si="0"/>
        <v>610</v>
      </c>
      <c r="G30" s="2" t="str">
        <f t="shared" si="1"/>
        <v>reprovado</v>
      </c>
    </row>
    <row r="31" spans="1:7" ht="16.5">
      <c r="A31" s="5">
        <v>24</v>
      </c>
      <c r="B31" s="6" t="s">
        <v>26</v>
      </c>
      <c r="C31" s="5">
        <v>13</v>
      </c>
      <c r="D31" s="5">
        <v>14</v>
      </c>
      <c r="E31" s="5">
        <v>18</v>
      </c>
      <c r="F31" s="5">
        <f t="shared" si="0"/>
        <v>630</v>
      </c>
      <c r="G31" s="2" t="str">
        <f t="shared" si="1"/>
        <v>reprovado</v>
      </c>
    </row>
    <row r="32" spans="1:7" ht="16.5">
      <c r="A32" s="5">
        <v>25</v>
      </c>
      <c r="B32" s="6" t="s">
        <v>27</v>
      </c>
      <c r="C32" s="5">
        <v>15</v>
      </c>
      <c r="D32" s="5">
        <v>16</v>
      </c>
      <c r="E32" s="5">
        <v>16</v>
      </c>
      <c r="F32" s="5">
        <f t="shared" si="0"/>
        <v>630</v>
      </c>
      <c r="G32" s="2" t="str">
        <f t="shared" si="1"/>
        <v>reprovado</v>
      </c>
    </row>
    <row r="33" spans="1:7" ht="16.5">
      <c r="A33" s="5">
        <v>26</v>
      </c>
      <c r="B33" s="6" t="s">
        <v>28</v>
      </c>
      <c r="C33" s="5">
        <v>20</v>
      </c>
      <c r="D33" s="5">
        <v>18</v>
      </c>
      <c r="E33" s="5">
        <v>17</v>
      </c>
      <c r="F33" s="5">
        <f t="shared" si="0"/>
        <v>720</v>
      </c>
      <c r="G33" s="2" t="str">
        <f t="shared" si="1"/>
        <v>aprovado</v>
      </c>
    </row>
    <row r="34" spans="1:7" ht="16.5">
      <c r="A34" s="5">
        <v>27</v>
      </c>
      <c r="B34" s="6" t="s">
        <v>29</v>
      </c>
      <c r="C34" s="5">
        <v>23</v>
      </c>
      <c r="D34" s="5">
        <v>16</v>
      </c>
      <c r="E34" s="5">
        <v>19</v>
      </c>
      <c r="F34" s="5">
        <f t="shared" si="0"/>
        <v>770</v>
      </c>
      <c r="G34" s="2" t="str">
        <f t="shared" si="1"/>
        <v>aprovado</v>
      </c>
    </row>
    <row r="35" spans="1:7" ht="16.5">
      <c r="A35" s="5">
        <v>28</v>
      </c>
      <c r="B35" s="6" t="s">
        <v>30</v>
      </c>
      <c r="C35" s="5">
        <v>16</v>
      </c>
      <c r="D35" s="5">
        <v>18</v>
      </c>
      <c r="E35" s="5">
        <v>20</v>
      </c>
      <c r="F35" s="5">
        <f t="shared" si="0"/>
        <v>740</v>
      </c>
      <c r="G35" s="2" t="str">
        <f t="shared" si="1"/>
        <v>aprovado</v>
      </c>
    </row>
    <row r="36" spans="1:7" ht="16.5">
      <c r="A36" s="5">
        <v>29</v>
      </c>
      <c r="B36" s="6" t="s">
        <v>31</v>
      </c>
      <c r="C36" s="5">
        <v>18</v>
      </c>
      <c r="D36" s="5">
        <v>19</v>
      </c>
      <c r="E36" s="5">
        <v>24</v>
      </c>
      <c r="F36" s="5">
        <f t="shared" si="0"/>
        <v>850</v>
      </c>
      <c r="G36" s="2" t="str">
        <f t="shared" si="1"/>
        <v>aprovado</v>
      </c>
    </row>
    <row r="37" spans="1:7" ht="16.5">
      <c r="A37" s="5">
        <v>30</v>
      </c>
      <c r="B37" s="6" t="s">
        <v>32</v>
      </c>
      <c r="C37" s="5">
        <v>17</v>
      </c>
      <c r="D37" s="5">
        <v>20</v>
      </c>
      <c r="E37" s="5">
        <v>23</v>
      </c>
      <c r="F37" s="5">
        <f t="shared" si="0"/>
        <v>830</v>
      </c>
      <c r="G37" s="2" t="str">
        <f t="shared" si="1"/>
        <v>aprovado</v>
      </c>
    </row>
    <row r="38" spans="1:7" ht="16.5">
      <c r="A38" s="5">
        <v>31</v>
      </c>
      <c r="B38" s="6" t="s">
        <v>33</v>
      </c>
      <c r="C38" s="5">
        <v>14</v>
      </c>
      <c r="D38" s="5">
        <v>21</v>
      </c>
      <c r="E38" s="5">
        <v>24</v>
      </c>
      <c r="F38" s="5">
        <f t="shared" si="0"/>
        <v>830</v>
      </c>
      <c r="G38" s="2" t="str">
        <f t="shared" si="1"/>
        <v>aprovado</v>
      </c>
    </row>
    <row r="39" spans="1:7" ht="16.5">
      <c r="A39" s="5">
        <v>32</v>
      </c>
      <c r="B39" s="6" t="s">
        <v>34</v>
      </c>
      <c r="C39" s="5">
        <v>16</v>
      </c>
      <c r="D39" s="5">
        <v>23</v>
      </c>
      <c r="E39" s="5">
        <v>15</v>
      </c>
      <c r="F39" s="5">
        <f t="shared" si="0"/>
        <v>690</v>
      </c>
      <c r="G39" s="2" t="str">
        <f t="shared" si="1"/>
        <v>reprovado</v>
      </c>
    </row>
    <row r="40" spans="1:7" ht="16.5">
      <c r="A40" s="5">
        <v>33</v>
      </c>
      <c r="B40" s="6" t="s">
        <v>35</v>
      </c>
      <c r="C40" s="5">
        <v>15</v>
      </c>
      <c r="D40" s="5">
        <v>24</v>
      </c>
      <c r="E40" s="5">
        <v>19</v>
      </c>
      <c r="F40" s="5">
        <f t="shared" si="0"/>
        <v>770</v>
      </c>
      <c r="G40" s="2" t="str">
        <f t="shared" si="1"/>
        <v>aprovado</v>
      </c>
    </row>
    <row r="41" spans="1:7" ht="16.5">
      <c r="A41" s="5">
        <v>34</v>
      </c>
      <c r="B41" s="6" t="s">
        <v>36</v>
      </c>
      <c r="C41" s="5">
        <v>22</v>
      </c>
      <c r="D41" s="5">
        <v>18</v>
      </c>
      <c r="E41" s="5">
        <v>18</v>
      </c>
      <c r="F41" s="5">
        <f t="shared" si="0"/>
        <v>760</v>
      </c>
      <c r="G41" s="2" t="str">
        <f t="shared" si="1"/>
        <v>aprovado</v>
      </c>
    </row>
    <row r="42" spans="1:7" ht="16.5">
      <c r="A42" s="5">
        <v>35</v>
      </c>
      <c r="B42" s="6" t="s">
        <v>37</v>
      </c>
      <c r="C42" s="5">
        <v>24</v>
      </c>
      <c r="D42" s="5">
        <v>19</v>
      </c>
      <c r="E42" s="5">
        <v>17</v>
      </c>
      <c r="F42" s="5">
        <f t="shared" si="0"/>
        <v>770</v>
      </c>
      <c r="G42" s="2" t="str">
        <f t="shared" si="1"/>
        <v>aprovado</v>
      </c>
    </row>
    <row r="43" spans="1:7" ht="16.5">
      <c r="A43" s="5">
        <v>36</v>
      </c>
      <c r="B43" s="6" t="s">
        <v>38</v>
      </c>
      <c r="C43" s="5">
        <v>19</v>
      </c>
      <c r="D43" s="5">
        <v>15</v>
      </c>
      <c r="E43" s="5">
        <v>15</v>
      </c>
      <c r="F43" s="5">
        <f t="shared" si="0"/>
        <v>640</v>
      </c>
      <c r="G43" s="2" t="str">
        <f t="shared" si="1"/>
        <v>reprovado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E4:F15"/>
  <sheetViews>
    <sheetView topLeftCell="A133" workbookViewId="0">
      <selection activeCell="E5" sqref="E5"/>
    </sheetView>
  </sheetViews>
  <sheetFormatPr defaultRowHeight="15"/>
  <sheetData>
    <row r="4" spans="5:6" ht="15.75" thickBot="1"/>
    <row r="5" spans="5:6" ht="16.5" thickTop="1" thickBot="1">
      <c r="E5" s="14" t="s">
        <v>48</v>
      </c>
      <c r="F5" s="14" t="s">
        <v>49</v>
      </c>
    </row>
    <row r="6" spans="5:6" ht="16.5" thickTop="1" thickBot="1">
      <c r="E6" s="14">
        <v>56</v>
      </c>
      <c r="F6" s="14" t="str">
        <f>litro(E6)</f>
        <v>0,056</v>
      </c>
    </row>
    <row r="7" spans="5:6" ht="16.5" thickTop="1" thickBot="1">
      <c r="E7" s="14"/>
      <c r="F7" s="14" t="str">
        <f t="shared" ref="F7:F14" si="0">litro(E7)</f>
        <v>0</v>
      </c>
    </row>
    <row r="8" spans="5:6" ht="16.5" thickTop="1" thickBot="1">
      <c r="E8" s="14"/>
      <c r="F8" s="14" t="str">
        <f t="shared" si="0"/>
        <v>0</v>
      </c>
    </row>
    <row r="9" spans="5:6" ht="16.5" thickTop="1" thickBot="1">
      <c r="E9" s="14"/>
      <c r="F9" s="14" t="str">
        <f t="shared" si="0"/>
        <v>0</v>
      </c>
    </row>
    <row r="10" spans="5:6" ht="16.5" thickTop="1" thickBot="1">
      <c r="E10" s="14"/>
      <c r="F10" s="14" t="str">
        <f t="shared" si="0"/>
        <v>0</v>
      </c>
    </row>
    <row r="11" spans="5:6" ht="16.5" thickTop="1" thickBot="1">
      <c r="E11" s="14"/>
      <c r="F11" s="14" t="str">
        <f t="shared" si="0"/>
        <v>0</v>
      </c>
    </row>
    <row r="12" spans="5:6" ht="16.5" thickTop="1" thickBot="1">
      <c r="E12" s="14"/>
      <c r="F12" s="14" t="str">
        <f t="shared" si="0"/>
        <v>0</v>
      </c>
    </row>
    <row r="13" spans="5:6" ht="16.5" thickTop="1" thickBot="1">
      <c r="E13" s="14"/>
      <c r="F13" s="14" t="str">
        <f t="shared" si="0"/>
        <v>0</v>
      </c>
    </row>
    <row r="14" spans="5:6" ht="16.5" thickTop="1" thickBot="1">
      <c r="E14" s="14"/>
      <c r="F14" s="14" t="str">
        <f t="shared" si="0"/>
        <v>0</v>
      </c>
    </row>
    <row r="15" spans="5:6" ht="15.75" thickTop="1"/>
  </sheetData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Plan1</vt:lpstr>
      <vt:lpstr>Plan2</vt:lpstr>
      <vt:lpstr>Plan3</vt:lpstr>
      <vt:lpstr>tabela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salomão</dc:creator>
  <cp:lastModifiedBy>salomão</cp:lastModifiedBy>
  <dcterms:created xsi:type="dcterms:W3CDTF">2016-09-23T19:55:18Z</dcterms:created>
  <dcterms:modified xsi:type="dcterms:W3CDTF">2016-10-11T21:43:26Z</dcterms:modified>
</cp:coreProperties>
</file>