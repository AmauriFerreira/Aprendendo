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mauri\Desktop\PMI\"/>
    </mc:Choice>
  </mc:AlternateContent>
  <bookViews>
    <workbookView xWindow="0" yWindow="0" windowWidth="20490" windowHeight="9045" activeTab="4"/>
  </bookViews>
  <sheets>
    <sheet name="Media_Sala" sheetId="4" r:id="rId1"/>
    <sheet name="Reajuste" sheetId="2" r:id="rId2"/>
    <sheet name="Cotacao_Dolar" sheetId="5" r:id="rId3"/>
    <sheet name="Conversao_kmh_ms" sheetId="6" r:id="rId4"/>
    <sheet name="Maior_Menor" sheetId="7" r:id="rId5"/>
  </sheets>
  <calcPr calcId="152511"/>
</workbook>
</file>

<file path=xl/calcChain.xml><?xml version="1.0" encoding="utf-8"?>
<calcChain xmlns="http://schemas.openxmlformats.org/spreadsheetml/2006/main">
  <c r="I4" i="7" l="1"/>
  <c r="D7" i="5"/>
  <c r="D15" i="2"/>
  <c r="J5" i="6"/>
  <c r="J3" i="6"/>
  <c r="D13" i="2"/>
  <c r="D5" i="2"/>
  <c r="I7" i="5"/>
  <c r="I9" i="5"/>
  <c r="D9" i="4"/>
  <c r="C4" i="7"/>
  <c r="C6" i="7"/>
  <c r="I5" i="7"/>
  <c r="D6" i="5"/>
  <c r="D3" i="2"/>
  <c r="D5" i="6"/>
  <c r="I10" i="5"/>
  <c r="D7" i="4"/>
  <c r="I6" i="5"/>
  <c r="D8" i="5"/>
  <c r="J4" i="6"/>
  <c r="J6" i="6"/>
  <c r="I6" i="7"/>
  <c r="D4" i="2"/>
  <c r="D6" i="4"/>
  <c r="I8" i="5"/>
  <c r="C5" i="7"/>
  <c r="C3" i="7"/>
  <c r="D10" i="5"/>
  <c r="D14" i="2"/>
  <c r="D4" i="6"/>
  <c r="D6" i="6"/>
  <c r="I3" i="7"/>
  <c r="D8" i="4"/>
  <c r="D3" i="6"/>
  <c r="D9" i="5"/>
</calcChain>
</file>

<file path=xl/sharedStrings.xml><?xml version="1.0" encoding="utf-8"?>
<sst xmlns="http://schemas.openxmlformats.org/spreadsheetml/2006/main" count="68" uniqueCount="39">
  <si>
    <t>P1</t>
  </si>
  <si>
    <t>P2</t>
  </si>
  <si>
    <t>P3</t>
  </si>
  <si>
    <t>Resultado</t>
  </si>
  <si>
    <t>Cod. Produto</t>
  </si>
  <si>
    <t>Produto</t>
  </si>
  <si>
    <t>Jan</t>
  </si>
  <si>
    <t>Fev</t>
  </si>
  <si>
    <t>Produto 1</t>
  </si>
  <si>
    <t>Produto 2</t>
  </si>
  <si>
    <t>Produto 3</t>
  </si>
  <si>
    <t>Calculo Reajuste - FUNCTION</t>
  </si>
  <si>
    <t>Calculo Reajuste - MACRO</t>
  </si>
  <si>
    <t>SUB</t>
  </si>
  <si>
    <t>OBS</t>
  </si>
  <si>
    <t>Cambio Dolar Real - FUNCTION</t>
  </si>
  <si>
    <t>Real</t>
  </si>
  <si>
    <t>Dolar</t>
  </si>
  <si>
    <t/>
  </si>
  <si>
    <t>Cambio Dolar Real - MACRO</t>
  </si>
  <si>
    <t>Ler um valor em reais e cambiar para dolar utilizado 3,15 como cotaçao do dolar</t>
  </si>
  <si>
    <t>Km/h</t>
  </si>
  <si>
    <t>m/s</t>
  </si>
  <si>
    <t>Botão limpar e converter</t>
  </si>
  <si>
    <t>Realize tambem a resolução sub</t>
  </si>
  <si>
    <t>Ler um valor em km/h e converter para m/s. Formula: M = K/3.6, onde M = m/s e K = km/h</t>
  </si>
  <si>
    <t>Utilize a cotação de dolar indicada</t>
  </si>
  <si>
    <t>Média Sala - Function</t>
  </si>
  <si>
    <t>Média Sala - Macro</t>
  </si>
  <si>
    <t>Leia as notas P1 e P2 e depois calcule a média do aluno. Se o aluno nao atingir a média 6, leia uma terceira nota (P3) e calcule a média novamente</t>
  </si>
  <si>
    <t>Conversão km/h para m/s - Function</t>
  </si>
  <si>
    <t>Conversão km/h para m/s - Macro</t>
  </si>
  <si>
    <t>Maior Menor - Function</t>
  </si>
  <si>
    <t>Nº1</t>
  </si>
  <si>
    <t>Nº2</t>
  </si>
  <si>
    <t>Maior Menor - Macro</t>
  </si>
  <si>
    <t>Leia dois números e diaga qual é o maior e qual é o menor. Se os números forem iguais apresente "Números Iguas"</t>
  </si>
  <si>
    <t>Ler o valor de um produto e realizar o reajuste de 10% sobre o mesmo</t>
  </si>
  <si>
    <t>Botão limpar e calcular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</si>
</sst>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2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ill="1"/>
    <xf numFmtId="0" fontId="0" fillId="3" borderId="7" xfId="0" applyFill="1" applyBorder="1"/>
    <xf numFmtId="0" fontId="0" fillId="0" borderId="11" xfId="0" applyBorder="1"/>
    <xf numFmtId="0" fontId="3" fillId="0" borderId="0" xfId="0" applyFont="1"/>
    <xf numFmtId="0" fontId="7" fillId="0" borderId="0" xfId="0" applyFont="1"/>
    <xf numFmtId="0" fontId="0" fillId="5" borderId="0" xfId="0" applyFill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left" vertical="top"/>
    </xf>
    <xf numFmtId="0" fontId="6" fillId="4" borderId="1" xfId="0" applyFont="1" applyFill="1" applyBorder="1" applyAlignment="1">
      <alignment horizontal="left"/>
    </xf>
    <xf numFmtId="0" fontId="0" fillId="0" borderId="2" xfId="0" applyBorder="1"/>
    <xf numFmtId="0" fontId="3" fillId="4" borderId="0" xfId="0" applyFont="1" applyFill="1"/>
    <xf numFmtId="0" fontId="8" fillId="5" borderId="0" xfId="0" applyFont="1" applyFill="1"/>
    <xf numFmtId="0" fontId="0" fillId="4" borderId="1" xfId="0" applyFont="1" applyFill="1" applyBorder="1"/>
    <xf numFmtId="0" fontId="0" fillId="4" borderId="0" xfId="0" applyFont="1" applyFill="1"/>
    <xf numFmtId="0" fontId="0" fillId="3" borderId="12" xfId="0" applyFont="1" applyFill="1" applyBorder="1"/>
    <xf numFmtId="0" fontId="0" fillId="3" borderId="7" xfId="0" applyFont="1" applyFill="1" applyBorder="1"/>
    <xf numFmtId="0" fontId="0" fillId="3" borderId="10" xfId="0" applyFont="1" applyFill="1" applyBorder="1"/>
    <xf numFmtId="0" fontId="9" fillId="3" borderId="0" xfId="0" applyFont="1" applyFill="1"/>
    <xf numFmtId="0" fontId="9" fillId="3" borderId="9" xfId="0" applyFont="1" applyFill="1" applyBorder="1"/>
    <xf numFmtId="0" fontId="9" fillId="2" borderId="7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5" fillId="5" borderId="0" xfId="0" applyFont="1" applyFill="1"/>
    <xf numFmtId="0" fontId="0" fillId="3" borderId="2" xfId="0" applyFill="1" applyBorder="1"/>
    <xf numFmtId="0" fontId="0" fillId="3" borderId="8" xfId="0" applyFill="1" applyBorder="1"/>
    <xf numFmtId="0" fontId="1" fillId="3" borderId="3" xfId="0" applyFont="1" applyFill="1" applyBorder="1" applyAlignment="1">
      <alignment horizontal="center"/>
    </xf>
    <xf numFmtId="0" fontId="0" fillId="3" borderId="10" xfId="0" applyFill="1" applyBorder="1"/>
    <xf numFmtId="0" fontId="5" fillId="5" borderId="2" xfId="0" applyFont="1" applyFill="1" applyBorder="1"/>
    <xf numFmtId="0" fontId="1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0" borderId="0" xfId="0" applyFill="1" applyBorder="1"/>
    <xf numFmtId="0" fontId="2" fillId="5" borderId="0" xfId="0" applyFont="1" applyFill="1"/>
    <xf numFmtId="0" fontId="10" fillId="4" borderId="0" xfId="0" applyFont="1" applyFill="1"/>
    <xf numFmtId="0" fontId="5" fillId="4" borderId="0" xfId="0" applyFont="1" applyFill="1"/>
    <xf numFmtId="0" fontId="0" fillId="0" borderId="8" xfId="0" applyBorder="1"/>
    <xf numFmtId="0" fontId="0" fillId="0" borderId="1" xfId="0" applyFont="1" applyBorder="1"/>
    <xf numFmtId="0" fontId="0" fillId="4" borderId="10" xfId="0" applyFont="1" applyFill="1" applyBorder="1"/>
    <xf numFmtId="0" fontId="0" fillId="4" borderId="3" xfId="0" applyFont="1" applyFill="1" applyBorder="1"/>
    <xf numFmtId="0" fontId="0" fillId="4" borderId="2" xfId="0" applyFill="1" applyBorder="1"/>
    <xf numFmtId="0" fontId="0" fillId="5" borderId="5" xfId="0" applyFill="1" applyBorder="1"/>
    <xf numFmtId="0" fontId="0" fillId="3" borderId="6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11" fillId="5" borderId="0" xfId="0" applyFont="1" applyFill="1"/>
    <xf numFmtId="0" fontId="5" fillId="0" borderId="0" xfId="0" applyFont="1" applyFill="1"/>
    <xf numFmtId="0" fontId="3" fillId="4" borderId="1" xfId="0" applyFont="1" applyFill="1" applyBorder="1"/>
    <xf numFmtId="0" fontId="3" fillId="4" borderId="3" xfId="0" applyFont="1" applyFill="1" applyBorder="1"/>
    <xf numFmtId="0" fontId="3" fillId="4" borderId="5" xfId="0" applyFont="1" applyFill="1" applyBorder="1"/>
    <xf numFmtId="0" fontId="0" fillId="0" borderId="13" xfId="0" applyBorder="1"/>
    <xf numFmtId="0" fontId="0" fillId="0" borderId="0" xfId="0" quotePrefix="1"/>
    <xf numFmtId="0" fontId="11" fillId="0" borderId="0" xfId="0" applyFont="1" applyFill="1"/>
    <xf numFmtId="0" fontId="8" fillId="0" borderId="0" xfId="0" applyFont="1" applyFill="1"/>
    <xf numFmtId="0" fontId="4" fillId="4" borderId="1" xfId="0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9" fontId="0" fillId="4" borderId="1" xfId="0" applyNumberFormat="1" applyFill="1" applyBorder="1"/>
    <xf numFmtId="0" fontId="9" fillId="3" borderId="7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4" borderId="3" xfId="0" applyFill="1" applyBorder="1"/>
    <xf numFmtId="0" fontId="0" fillId="3" borderId="1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123825</xdr:rowOff>
        </xdr:from>
        <xdr:to>
          <xdr:col>8</xdr:col>
          <xdr:colOff>361950</xdr:colOff>
          <xdr:row>11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9</xdr:row>
          <xdr:rowOff>133350</xdr:rowOff>
        </xdr:from>
        <xdr:to>
          <xdr:col>10</xdr:col>
          <xdr:colOff>104775</xdr:colOff>
          <xdr:row>12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15</xdr:row>
          <xdr:rowOff>171450</xdr:rowOff>
        </xdr:from>
        <xdr:to>
          <xdr:col>1</xdr:col>
          <xdr:colOff>742950</xdr:colOff>
          <xdr:row>17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1133475</xdr:colOff>
          <xdr:row>16</xdr:row>
          <xdr:rowOff>0</xdr:rowOff>
        </xdr:from>
        <xdr:to>
          <xdr:col>3</xdr:col>
          <xdr:colOff>142875</xdr:colOff>
          <xdr:row>17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161925</xdr:rowOff>
        </xdr:from>
        <xdr:to>
          <xdr:col>6</xdr:col>
          <xdr:colOff>657225</xdr:colOff>
          <xdr:row>12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Cambiar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171450</xdr:rowOff>
        </xdr:from>
        <xdr:to>
          <xdr:col>8</xdr:col>
          <xdr:colOff>590550</xdr:colOff>
          <xdr:row>12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6</xdr:row>
          <xdr:rowOff>161925</xdr:rowOff>
        </xdr:from>
        <xdr:to>
          <xdr:col>7</xdr:col>
          <xdr:colOff>790575</xdr:colOff>
          <xdr:row>8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6</xdr:row>
          <xdr:rowOff>180975</xdr:rowOff>
        </xdr:from>
        <xdr:to>
          <xdr:col>9</xdr:col>
          <xdr:colOff>352425</xdr:colOff>
          <xdr:row>8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6</xdr:row>
          <xdr:rowOff>152400</xdr:rowOff>
        </xdr:from>
        <xdr:to>
          <xdr:col>7</xdr:col>
          <xdr:colOff>504825</xdr:colOff>
          <xdr:row>8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857250</xdr:colOff>
          <xdr:row>7</xdr:row>
          <xdr:rowOff>9525</xdr:rowOff>
        </xdr:from>
        <xdr:to>
          <xdr:col>8</xdr:col>
          <xdr:colOff>990600</xdr:colOff>
          <xdr:row>8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S16"/>
  <sheetViews>
    <sheetView workbookViewId="0">
      <selection activeCell="H16" sqref="H16"/>
    </sheetView>
  </sheetViews>
  <sheetFormatPr defaultRowHeight="15" x14ac:dyDescent="0.25"/>
  <cols>
    <col min="1" max="3" width="11.28515625" customWidth="1"/>
    <col min="4" max="4" width="21.5703125" customWidth="1"/>
    <col min="8" max="8" width="13.5703125" customWidth="1"/>
    <col min="9" max="9" width="13.28515625" customWidth="1"/>
    <col min="10" max="10" width="12.42578125" customWidth="1"/>
    <col min="11" max="11" width="22.28515625" customWidth="1"/>
    <col min="18" max="18" width="8.85546875" customWidth="1"/>
    <col min="19" max="19" width="9.140625" hidden="1" customWidth="1"/>
  </cols>
  <sheetData>
    <row r="1" spans="1:13" ht="25.5" customHeight="1" x14ac:dyDescent="0.35">
      <c r="A1" s="21" t="s">
        <v>14</v>
      </c>
      <c r="B1" s="2" t="s">
        <v>29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3" spans="1:13" x14ac:dyDescent="0.25">
      <c r="H3" t="s">
        <v>23</v>
      </c>
    </row>
    <row r="4" spans="1:13" ht="23.25" x14ac:dyDescent="0.35">
      <c r="A4" s="18" t="s">
        <v>27</v>
      </c>
      <c r="B4" s="17"/>
      <c r="C4" s="17"/>
      <c r="D4" s="17"/>
      <c r="H4" s="19" t="s">
        <v>28</v>
      </c>
      <c r="I4" s="17"/>
      <c r="J4" s="17"/>
      <c r="K4" s="17"/>
    </row>
    <row r="5" spans="1:13" x14ac:dyDescent="0.25">
      <c r="A5" s="32" t="s">
        <v>0</v>
      </c>
      <c r="B5" s="30" t="s">
        <v>1</v>
      </c>
      <c r="C5" s="30" t="s">
        <v>2</v>
      </c>
      <c r="D5" s="31" t="s">
        <v>3</v>
      </c>
      <c r="G5" s="20"/>
      <c r="H5" s="32" t="s">
        <v>0</v>
      </c>
      <c r="I5" s="30" t="s">
        <v>1</v>
      </c>
      <c r="J5" s="30" t="s">
        <v>2</v>
      </c>
      <c r="K5" s="31" t="s">
        <v>3</v>
      </c>
    </row>
    <row r="6" spans="1:13" x14ac:dyDescent="0.25">
      <c r="A6" s="7">
        <v>5</v>
      </c>
      <c r="B6" s="6">
        <v>7.6</v>
      </c>
      <c r="C6" s="7">
        <v>8</v>
      </c>
      <c r="D6" s="7" t="e">
        <f ca="1">funcMediaSala($A6,$B6,$C6)</f>
        <v>#NAME?</v>
      </c>
      <c r="H6" s="7">
        <v>5</v>
      </c>
      <c r="I6" s="6">
        <v>7.6</v>
      </c>
      <c r="J6" s="7">
        <v>8</v>
      </c>
      <c r="K6" s="74"/>
    </row>
    <row r="7" spans="1:13" x14ac:dyDescent="0.25">
      <c r="A7" s="7">
        <v>9.6</v>
      </c>
      <c r="B7" s="6">
        <v>10</v>
      </c>
      <c r="C7" s="7">
        <v>7</v>
      </c>
      <c r="D7" s="7" t="e">
        <f t="shared" ref="D7:D9" ca="1" si="0">funcMediaSala($A7,$B7,$C7)</f>
        <v>#NAME?</v>
      </c>
      <c r="H7" s="7">
        <v>9.6</v>
      </c>
      <c r="I7" s="6">
        <v>10</v>
      </c>
      <c r="J7" s="7">
        <v>7</v>
      </c>
      <c r="K7" s="74"/>
    </row>
    <row r="8" spans="1:13" x14ac:dyDescent="0.25">
      <c r="A8" s="7">
        <v>1</v>
      </c>
      <c r="B8" s="6">
        <v>3</v>
      </c>
      <c r="C8" s="7">
        <v>5</v>
      </c>
      <c r="D8" s="7" t="e">
        <f t="shared" ca="1" si="0"/>
        <v>#NAME?</v>
      </c>
      <c r="H8" s="7">
        <v>1</v>
      </c>
      <c r="I8" s="6">
        <v>3</v>
      </c>
      <c r="J8" s="7">
        <v>5</v>
      </c>
      <c r="K8" s="74"/>
    </row>
    <row r="9" spans="1:13" x14ac:dyDescent="0.25">
      <c r="A9" s="6">
        <v>2</v>
      </c>
      <c r="B9" s="6">
        <v>4</v>
      </c>
      <c r="C9" s="7">
        <v>4</v>
      </c>
      <c r="D9" s="7" t="e">
        <f t="shared" ca="1" si="0"/>
        <v>#NAME?</v>
      </c>
      <c r="H9" s="6">
        <v>2</v>
      </c>
      <c r="I9" s="6">
        <v>4</v>
      </c>
      <c r="J9" s="7">
        <v>4</v>
      </c>
      <c r="K9" s="74"/>
    </row>
    <row r="16" spans="1:13" ht="21" x14ac:dyDescent="0.35">
      <c r="A16" s="55" t="s">
        <v>24</v>
      </c>
      <c r="B16" s="22"/>
      <c r="C16" s="22"/>
      <c r="D16" s="15"/>
      <c r="E16" s="15"/>
      <c r="F16" s="10"/>
      <c r="G16" s="10"/>
      <c r="H16" s="10"/>
      <c r="I16" s="10"/>
      <c r="J16" s="10"/>
      <c r="K16" s="10"/>
      <c r="L16" s="10"/>
      <c r="M16" s="10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edia_Sala">
                <anchor moveWithCells="1" sizeWithCells="1">
                  <from>
                    <xdr:col>7</xdr:col>
                    <xdr:colOff>19050</xdr:colOff>
                    <xdr:row>9</xdr:row>
                    <xdr:rowOff>123825</xdr:rowOff>
                  </from>
                  <to>
                    <xdr:col>8</xdr:col>
                    <xdr:colOff>361950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Limpar">
                <anchor moveWithCells="1" sizeWithCells="1">
                  <from>
                    <xdr:col>8</xdr:col>
                    <xdr:colOff>457200</xdr:colOff>
                    <xdr:row>9</xdr:row>
                    <xdr:rowOff>133350</xdr:rowOff>
                  </from>
                  <to>
                    <xdr:col>10</xdr:col>
                    <xdr:colOff>104775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P22"/>
  <sheetViews>
    <sheetView workbookViewId="0">
      <selection activeCell="B20" sqref="B20"/>
    </sheetView>
  </sheetViews>
  <sheetFormatPr defaultRowHeight="15" x14ac:dyDescent="0.25"/>
  <cols>
    <col min="1" max="1" width="13.7109375" customWidth="1"/>
    <col min="2" max="2" width="17.7109375" customWidth="1"/>
    <col min="3" max="3" width="18.140625" customWidth="1"/>
    <col min="4" max="4" width="16.42578125" customWidth="1"/>
    <col min="7" max="7" width="16.28515625" customWidth="1"/>
  </cols>
  <sheetData>
    <row r="1" spans="1:16" ht="18.75" x14ac:dyDescent="0.3">
      <c r="A1" s="64" t="s">
        <v>11</v>
      </c>
      <c r="B1" s="65"/>
      <c r="C1" s="16"/>
      <c r="D1" s="66">
        <v>0.1</v>
      </c>
    </row>
    <row r="2" spans="1:16" ht="21" x14ac:dyDescent="0.35">
      <c r="A2" s="67" t="s">
        <v>4</v>
      </c>
      <c r="B2" s="68" t="s">
        <v>5</v>
      </c>
      <c r="C2" s="67" t="s">
        <v>6</v>
      </c>
      <c r="D2" s="67" t="s">
        <v>7</v>
      </c>
      <c r="E2" s="9"/>
      <c r="F2" s="55" t="s">
        <v>24</v>
      </c>
      <c r="G2" s="22"/>
      <c r="H2" s="22"/>
      <c r="I2" s="15"/>
      <c r="J2" s="15"/>
    </row>
    <row r="3" spans="1:16" ht="21" x14ac:dyDescent="0.35">
      <c r="A3" s="69">
        <v>45</v>
      </c>
      <c r="B3" s="70" t="s">
        <v>8</v>
      </c>
      <c r="C3" s="11">
        <v>1000</v>
      </c>
      <c r="D3" s="11" t="e">
        <f ca="1">FuncReajuste($C3,$D$1)</f>
        <v>#NAME?</v>
      </c>
      <c r="F3" s="33" t="s">
        <v>13</v>
      </c>
      <c r="G3" s="21" t="s">
        <v>37</v>
      </c>
      <c r="H3" s="21"/>
      <c r="I3" s="21"/>
      <c r="J3" s="21"/>
      <c r="K3" s="21"/>
      <c r="L3" s="21"/>
      <c r="M3" s="21"/>
      <c r="N3" s="21"/>
      <c r="O3" s="21"/>
    </row>
    <row r="4" spans="1:16" x14ac:dyDescent="0.25">
      <c r="A4" s="71">
        <v>85</v>
      </c>
      <c r="B4" s="70" t="s">
        <v>9</v>
      </c>
      <c r="C4" s="11">
        <v>200</v>
      </c>
      <c r="D4" s="11" t="e">
        <f t="shared" ref="D4:D5" ca="1" si="0">FuncReajuste($C4,$D$1)</f>
        <v>#NAME?</v>
      </c>
    </row>
    <row r="5" spans="1:16" x14ac:dyDescent="0.25">
      <c r="A5" s="72">
        <v>74</v>
      </c>
      <c r="B5" s="73" t="s">
        <v>10</v>
      </c>
      <c r="C5" s="41">
        <v>300</v>
      </c>
      <c r="D5" s="11" t="e">
        <f t="shared" ca="1" si="0"/>
        <v>#NAME?</v>
      </c>
    </row>
    <row r="8" spans="1:16" ht="21" x14ac:dyDescent="0.35">
      <c r="P8" s="13"/>
    </row>
    <row r="10" spans="1:16" x14ac:dyDescent="0.25">
      <c r="A10" t="s">
        <v>38</v>
      </c>
    </row>
    <row r="11" spans="1:16" ht="18.75" x14ac:dyDescent="0.3">
      <c r="A11" s="64" t="s">
        <v>12</v>
      </c>
      <c r="B11" s="65"/>
      <c r="C11" s="16"/>
      <c r="D11" s="66">
        <v>0.1</v>
      </c>
    </row>
    <row r="12" spans="1:16" x14ac:dyDescent="0.25">
      <c r="A12" s="67" t="s">
        <v>4</v>
      </c>
      <c r="B12" s="68" t="s">
        <v>5</v>
      </c>
      <c r="C12" s="67" t="s">
        <v>6</v>
      </c>
      <c r="D12" s="67" t="s">
        <v>7</v>
      </c>
      <c r="E12" s="12"/>
      <c r="F12" s="8"/>
      <c r="G12" s="8"/>
    </row>
    <row r="13" spans="1:16" x14ac:dyDescent="0.25">
      <c r="A13" s="69">
        <v>45</v>
      </c>
      <c r="B13" s="70" t="s">
        <v>8</v>
      </c>
      <c r="C13" s="11">
        <v>1000</v>
      </c>
      <c r="D13" s="11" t="e">
        <f ca="1">FuncReajuste($C13,$D$11)</f>
        <v>#NAME?</v>
      </c>
    </row>
    <row r="14" spans="1:16" x14ac:dyDescent="0.25">
      <c r="A14" s="71">
        <v>85</v>
      </c>
      <c r="B14" s="70" t="s">
        <v>9</v>
      </c>
      <c r="C14" s="11">
        <v>200</v>
      </c>
      <c r="D14" s="11" t="e">
        <f t="shared" ref="D14:D15" ca="1" si="1">FuncReajuste($C14,$D$11)</f>
        <v>#NAME?</v>
      </c>
    </row>
    <row r="15" spans="1:16" x14ac:dyDescent="0.25">
      <c r="A15" s="72">
        <v>74</v>
      </c>
      <c r="B15" s="73" t="s">
        <v>10</v>
      </c>
      <c r="C15" s="41">
        <v>300</v>
      </c>
      <c r="D15" s="11" t="e">
        <f t="shared" ca="1" si="1"/>
        <v>#NAME?</v>
      </c>
    </row>
    <row r="17" spans="7:9" x14ac:dyDescent="0.25">
      <c r="I17" s="14"/>
    </row>
    <row r="22" spans="7:9" x14ac:dyDescent="0.25">
      <c r="G22" s="1"/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o_Reajuste">
                <anchor moveWithCells="1" sizeWithCells="1">
                  <from>
                    <xdr:col>0</xdr:col>
                    <xdr:colOff>276225</xdr:colOff>
                    <xdr:row>15</xdr:row>
                    <xdr:rowOff>171450</xdr:rowOff>
                  </from>
                  <to>
                    <xdr:col>1</xdr:col>
                    <xdr:colOff>742950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impar_Reajuste">
                <anchor moveWithCells="1" sizeWithCells="1">
                  <from>
                    <xdr:col>1</xdr:col>
                    <xdr:colOff>1133475</xdr:colOff>
                    <xdr:row>16</xdr:row>
                    <xdr:rowOff>0</xdr:rowOff>
                  </from>
                  <to>
                    <xdr:col>3</xdr:col>
                    <xdr:colOff>142875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P17"/>
  <sheetViews>
    <sheetView workbookViewId="0">
      <selection activeCell="G15" sqref="G15"/>
    </sheetView>
  </sheetViews>
  <sheetFormatPr defaultRowHeight="15" x14ac:dyDescent="0.25"/>
  <cols>
    <col min="1" max="1" width="12.140625" customWidth="1"/>
    <col min="2" max="2" width="12.42578125" customWidth="1"/>
    <col min="3" max="3" width="10.28515625" customWidth="1"/>
    <col min="4" max="4" width="9.85546875" customWidth="1"/>
    <col min="5" max="5" width="11.28515625" customWidth="1"/>
    <col min="7" max="7" width="14.140625" customWidth="1"/>
  </cols>
  <sheetData>
    <row r="1" spans="1:16" ht="21" x14ac:dyDescent="0.35">
      <c r="A1" s="3" t="s">
        <v>14</v>
      </c>
      <c r="B1" s="2" t="s">
        <v>26</v>
      </c>
      <c r="C1" s="24"/>
      <c r="D1" s="24"/>
      <c r="E1" s="1"/>
      <c r="F1" s="1"/>
      <c r="G1" s="1"/>
      <c r="L1" s="62"/>
      <c r="M1" s="63"/>
      <c r="N1" s="63"/>
      <c r="O1" s="10"/>
      <c r="P1" s="10"/>
    </row>
    <row r="2" spans="1:16" x14ac:dyDescent="0.25">
      <c r="C2" s="1"/>
      <c r="D2" s="1"/>
      <c r="E2" s="1"/>
      <c r="F2" s="1"/>
      <c r="G2" s="1"/>
    </row>
    <row r="3" spans="1:16" x14ac:dyDescent="0.25">
      <c r="C3" s="47"/>
      <c r="D3" s="47"/>
      <c r="E3" s="1"/>
      <c r="F3" s="47"/>
      <c r="G3" s="47"/>
      <c r="H3" s="5"/>
    </row>
    <row r="4" spans="1:16" x14ac:dyDescent="0.25">
      <c r="A4" s="2" t="s">
        <v>15</v>
      </c>
      <c r="B4" s="50"/>
      <c r="C4" s="23"/>
      <c r="D4" s="49">
        <v>3.15</v>
      </c>
      <c r="E4" s="20"/>
      <c r="F4" s="2" t="s">
        <v>19</v>
      </c>
      <c r="G4" s="2"/>
      <c r="H4" s="23"/>
      <c r="I4" s="48">
        <v>3.15</v>
      </c>
    </row>
    <row r="5" spans="1:16" x14ac:dyDescent="0.25">
      <c r="A5" s="34"/>
      <c r="B5" s="39"/>
      <c r="C5" s="28" t="s">
        <v>16</v>
      </c>
      <c r="D5" s="29" t="s">
        <v>17</v>
      </c>
      <c r="E5" s="46"/>
      <c r="F5" s="15"/>
      <c r="G5" s="53"/>
      <c r="H5" s="28" t="s">
        <v>16</v>
      </c>
      <c r="I5" s="29" t="s">
        <v>17</v>
      </c>
    </row>
    <row r="6" spans="1:16" x14ac:dyDescent="0.25">
      <c r="A6" s="34"/>
      <c r="B6" s="34"/>
      <c r="C6" s="25">
        <v>8.5</v>
      </c>
      <c r="D6" s="26" t="e">
        <f ca="1">FuncCDolar($C6,$D$4)</f>
        <v>#NAME?</v>
      </c>
      <c r="E6" s="46"/>
      <c r="F6" s="43" t="s">
        <v>23</v>
      </c>
      <c r="G6" s="53"/>
      <c r="H6" s="52">
        <v>8.5</v>
      </c>
      <c r="I6" s="26" t="e">
        <f ca="1">FuncCDolar($H6,$I$4)</f>
        <v>#NAME?</v>
      </c>
      <c r="K6" s="1"/>
    </row>
    <row r="7" spans="1:16" x14ac:dyDescent="0.25">
      <c r="A7" s="34"/>
      <c r="B7" s="34"/>
      <c r="C7" s="26">
        <v>10</v>
      </c>
      <c r="D7" s="26" t="e">
        <f t="shared" ref="D7:D10" ca="1" si="0">FuncCDolar($C7,$D$4)</f>
        <v>#NAME?</v>
      </c>
      <c r="E7" s="46"/>
      <c r="F7" s="15"/>
      <c r="G7" s="53"/>
      <c r="H7" s="27">
        <v>10</v>
      </c>
      <c r="I7" s="26" t="e">
        <f t="shared" ref="I7:I10" ca="1" si="1">FuncCDolar($H7,$I$4)</f>
        <v>#NAME?</v>
      </c>
    </row>
    <row r="8" spans="1:16" x14ac:dyDescent="0.25">
      <c r="A8" s="34"/>
      <c r="B8" s="39"/>
      <c r="C8" s="27">
        <v>50</v>
      </c>
      <c r="D8" s="26" t="e">
        <f t="shared" ca="1" si="0"/>
        <v>#NAME?</v>
      </c>
      <c r="E8" s="46"/>
      <c r="F8" s="15"/>
      <c r="G8" s="53"/>
      <c r="H8" s="27">
        <v>50</v>
      </c>
      <c r="I8" s="26" t="e">
        <f t="shared" ca="1" si="1"/>
        <v>#NAME?</v>
      </c>
      <c r="L8" s="1"/>
    </row>
    <row r="9" spans="1:16" x14ac:dyDescent="0.25">
      <c r="A9" s="34"/>
      <c r="B9" s="39"/>
      <c r="C9" s="27">
        <v>4.8</v>
      </c>
      <c r="D9" s="26" t="e">
        <f t="shared" ca="1" si="0"/>
        <v>#NAME?</v>
      </c>
      <c r="E9" s="46"/>
      <c r="F9" s="15"/>
      <c r="G9" s="53"/>
      <c r="H9" s="27">
        <v>4.8</v>
      </c>
      <c r="I9" s="26" t="e">
        <f t="shared" ca="1" si="1"/>
        <v>#NAME?</v>
      </c>
    </row>
    <row r="10" spans="1:16" x14ac:dyDescent="0.25">
      <c r="A10" s="34"/>
      <c r="B10" s="39"/>
      <c r="C10" s="27">
        <v>1500</v>
      </c>
      <c r="D10" s="26" t="e">
        <f t="shared" ca="1" si="0"/>
        <v>#NAME?</v>
      </c>
      <c r="E10" s="46"/>
      <c r="F10" s="51"/>
      <c r="G10" s="54"/>
      <c r="H10" s="27">
        <v>1500</v>
      </c>
      <c r="I10" s="26" t="e">
        <f t="shared" ca="1" si="1"/>
        <v>#NAME?</v>
      </c>
    </row>
    <row r="11" spans="1:16" x14ac:dyDescent="0.25">
      <c r="A11" s="1"/>
      <c r="B11" s="1"/>
      <c r="C11" s="1"/>
      <c r="D11" s="1"/>
      <c r="E11" s="1"/>
      <c r="F11" s="1"/>
      <c r="G11" s="1"/>
    </row>
    <row r="12" spans="1:16" x14ac:dyDescent="0.25">
      <c r="A12" s="1"/>
      <c r="B12" s="1"/>
      <c r="C12" s="1"/>
      <c r="D12" s="1"/>
      <c r="E12" s="1"/>
      <c r="F12" s="1"/>
      <c r="G12" s="1"/>
    </row>
    <row r="13" spans="1:16" x14ac:dyDescent="0.25">
      <c r="A13" s="1"/>
      <c r="B13" s="1"/>
      <c r="C13" s="1"/>
      <c r="D13" s="1"/>
      <c r="E13" s="1"/>
      <c r="F13" s="1"/>
      <c r="G13" s="1"/>
    </row>
    <row r="14" spans="1:16" x14ac:dyDescent="0.25">
      <c r="A14" s="1"/>
      <c r="B14" s="1"/>
      <c r="C14" s="1"/>
      <c r="D14" s="1"/>
      <c r="E14" s="1"/>
      <c r="F14" s="1"/>
      <c r="G14" s="1"/>
    </row>
    <row r="15" spans="1:16" x14ac:dyDescent="0.25">
      <c r="A15" s="1"/>
      <c r="B15" s="1"/>
      <c r="C15" s="1"/>
      <c r="D15" s="1"/>
      <c r="E15" s="1"/>
      <c r="F15" s="1"/>
      <c r="G15" s="1"/>
    </row>
    <row r="16" spans="1:16" ht="21" x14ac:dyDescent="0.35">
      <c r="A16" s="55" t="s">
        <v>24</v>
      </c>
      <c r="B16" s="22"/>
      <c r="C16" s="22"/>
      <c r="D16" s="15"/>
      <c r="E16" s="15"/>
    </row>
    <row r="17" spans="1:11" ht="21" x14ac:dyDescent="0.35">
      <c r="A17" s="33" t="s">
        <v>13</v>
      </c>
      <c r="B17" s="21" t="s">
        <v>20</v>
      </c>
      <c r="C17" s="21"/>
      <c r="D17" s="21"/>
      <c r="E17" s="21"/>
      <c r="F17" s="21"/>
      <c r="G17" s="44"/>
      <c r="H17" s="44"/>
      <c r="I17" s="44"/>
      <c r="J17" s="44"/>
      <c r="K17" s="45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mbioDolar">
                <anchor moveWithCells="1" sizeWithCells="1">
                  <from>
                    <xdr:col>5</xdr:col>
                    <xdr:colOff>190500</xdr:colOff>
                    <xdr:row>10</xdr:row>
                    <xdr:rowOff>161925</xdr:rowOff>
                  </from>
                  <to>
                    <xdr:col>6</xdr:col>
                    <xdr:colOff>657225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impar_CambioDolar">
                <anchor moveWithCells="1" sizeWithCells="1">
                  <from>
                    <xdr:col>7</xdr:col>
                    <xdr:colOff>0</xdr:colOff>
                    <xdr:row>10</xdr:row>
                    <xdr:rowOff>171450</xdr:rowOff>
                  </from>
                  <to>
                    <xdr:col>8</xdr:col>
                    <xdr:colOff>590550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K12"/>
  <sheetViews>
    <sheetView workbookViewId="0">
      <selection activeCell="G22" sqref="G22"/>
    </sheetView>
  </sheetViews>
  <sheetFormatPr defaultRowHeight="15" x14ac:dyDescent="0.25"/>
  <cols>
    <col min="1" max="1" width="16" customWidth="1"/>
    <col min="2" max="2" width="14.5703125" customWidth="1"/>
    <col min="3" max="3" width="16.140625" customWidth="1"/>
    <col min="4" max="4" width="28.42578125" customWidth="1"/>
    <col min="7" max="7" width="12.85546875" customWidth="1"/>
    <col min="8" max="8" width="13.42578125" customWidth="1"/>
    <col min="9" max="9" width="14.7109375" customWidth="1"/>
    <col min="10" max="10" width="26.85546875" customWidth="1"/>
  </cols>
  <sheetData>
    <row r="1" spans="1:11" ht="21" x14ac:dyDescent="0.35">
      <c r="A1" s="21" t="s">
        <v>30</v>
      </c>
      <c r="B1" s="2"/>
      <c r="C1" s="16"/>
      <c r="D1" s="75"/>
      <c r="E1" s="42"/>
      <c r="G1" s="21" t="s">
        <v>31</v>
      </c>
      <c r="H1" s="2"/>
      <c r="I1" s="16"/>
      <c r="J1" s="75"/>
    </row>
    <row r="2" spans="1:11" x14ac:dyDescent="0.25">
      <c r="A2" s="43"/>
      <c r="B2" s="39"/>
      <c r="C2" s="37" t="s">
        <v>21</v>
      </c>
      <c r="D2" s="40" t="s">
        <v>22</v>
      </c>
      <c r="E2" s="42"/>
      <c r="G2" s="43" t="s">
        <v>23</v>
      </c>
      <c r="H2" s="39"/>
      <c r="I2" s="37" t="s">
        <v>21</v>
      </c>
      <c r="J2" s="40" t="s">
        <v>22</v>
      </c>
    </row>
    <row r="3" spans="1:11" x14ac:dyDescent="0.25">
      <c r="A3" s="34"/>
      <c r="B3" s="39"/>
      <c r="C3" s="35">
        <v>80</v>
      </c>
      <c r="D3" s="11" t="e">
        <f ca="1">FuncKmParaM($C3)</f>
        <v>#NAME?</v>
      </c>
      <c r="E3" s="42"/>
      <c r="G3" s="34"/>
      <c r="H3" s="39"/>
      <c r="I3" s="35">
        <v>80</v>
      </c>
      <c r="J3" s="11" t="e">
        <f ca="1">FuncKmParaM($I3)</f>
        <v>#NAME?</v>
      </c>
    </row>
    <row r="4" spans="1:11" x14ac:dyDescent="0.25">
      <c r="A4" s="34"/>
      <c r="B4" s="39"/>
      <c r="C4" s="38">
        <v>45</v>
      </c>
      <c r="D4" s="11" t="e">
        <f t="shared" ref="D4:D6" ca="1" si="0">FuncKmParaM($C4)</f>
        <v>#NAME?</v>
      </c>
      <c r="E4" s="42"/>
      <c r="G4" s="43"/>
      <c r="H4" s="39"/>
      <c r="I4" s="38">
        <v>45</v>
      </c>
      <c r="J4" s="11" t="e">
        <f t="shared" ref="J4:J6" ca="1" si="1">FuncKmParaM($I4)</f>
        <v>#NAME?</v>
      </c>
    </row>
    <row r="5" spans="1:11" x14ac:dyDescent="0.25">
      <c r="A5" s="34"/>
      <c r="B5" s="39"/>
      <c r="C5" s="38">
        <v>350</v>
      </c>
      <c r="D5" s="11" t="e">
        <f t="shared" ca="1" si="0"/>
        <v>#NAME?</v>
      </c>
      <c r="E5" s="42"/>
      <c r="G5" s="34"/>
      <c r="H5" s="39"/>
      <c r="I5" s="38">
        <v>350</v>
      </c>
      <c r="J5" s="11" t="e">
        <f t="shared" ca="1" si="1"/>
        <v>#NAME?</v>
      </c>
    </row>
    <row r="6" spans="1:11" x14ac:dyDescent="0.25">
      <c r="A6" s="34"/>
      <c r="B6" s="39"/>
      <c r="C6" s="11">
        <v>960</v>
      </c>
      <c r="D6" s="11" t="e">
        <f t="shared" ca="1" si="0"/>
        <v>#NAME?</v>
      </c>
      <c r="E6" s="42"/>
      <c r="G6" s="34"/>
      <c r="H6" s="39"/>
      <c r="I6" s="11">
        <v>960</v>
      </c>
      <c r="J6" s="11" t="e">
        <f t="shared" ca="1" si="1"/>
        <v>#NAME?</v>
      </c>
    </row>
    <row r="7" spans="1:11" x14ac:dyDescent="0.25">
      <c r="F7" s="10"/>
    </row>
    <row r="9" spans="1:11" ht="21" x14ac:dyDescent="0.35">
      <c r="A9" s="55" t="s">
        <v>24</v>
      </c>
      <c r="B9" s="22"/>
      <c r="C9" s="22"/>
      <c r="D9" s="15"/>
      <c r="E9" s="15"/>
    </row>
    <row r="10" spans="1:11" ht="21" x14ac:dyDescent="0.35">
      <c r="A10" s="33" t="s">
        <v>13</v>
      </c>
      <c r="B10" s="21" t="s">
        <v>25</v>
      </c>
      <c r="C10" s="21"/>
      <c r="D10" s="21"/>
      <c r="E10" s="21"/>
      <c r="F10" s="21"/>
      <c r="G10" s="44"/>
      <c r="H10" s="44"/>
      <c r="I10" s="44"/>
      <c r="J10" s="44"/>
    </row>
    <row r="11" spans="1:11" x14ac:dyDescent="0.25">
      <c r="K11" s="56"/>
    </row>
    <row r="12" spans="1:11" x14ac:dyDescent="0.25">
      <c r="A12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nversao_kmh_ms">
                <anchor moveWithCells="1" sizeWithCells="1">
                  <from>
                    <xdr:col>6</xdr:col>
                    <xdr:colOff>171450</xdr:colOff>
                    <xdr:row>6</xdr:row>
                    <xdr:rowOff>161925</xdr:rowOff>
                  </from>
                  <to>
                    <xdr:col>7</xdr:col>
                    <xdr:colOff>790575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impar_Kmh_ms">
                <anchor moveWithCells="1" sizeWithCells="1">
                  <from>
                    <xdr:col>8</xdr:col>
                    <xdr:colOff>66675</xdr:colOff>
                    <xdr:row>6</xdr:row>
                    <xdr:rowOff>180975</xdr:rowOff>
                  </from>
                  <to>
                    <xdr:col>9</xdr:col>
                    <xdr:colOff>352425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N15"/>
  <sheetViews>
    <sheetView tabSelected="1" workbookViewId="0">
      <selection activeCell="I3" sqref="I3"/>
    </sheetView>
  </sheetViews>
  <sheetFormatPr defaultRowHeight="15" x14ac:dyDescent="0.25"/>
  <cols>
    <col min="3" max="3" width="20.42578125" customWidth="1"/>
    <col min="6" max="6" width="12.140625" customWidth="1"/>
    <col min="7" max="7" width="11" customWidth="1"/>
    <col min="8" max="8" width="19.28515625" customWidth="1"/>
    <col min="9" max="9" width="17" customWidth="1"/>
  </cols>
  <sheetData>
    <row r="1" spans="1:14" ht="21" x14ac:dyDescent="0.35">
      <c r="A1" s="59" t="s">
        <v>32</v>
      </c>
      <c r="B1" s="57"/>
      <c r="C1" s="58"/>
      <c r="G1" s="59" t="s">
        <v>35</v>
      </c>
      <c r="H1" s="57"/>
      <c r="I1" s="58"/>
    </row>
    <row r="2" spans="1:14" x14ac:dyDescent="0.25">
      <c r="A2" s="40" t="s">
        <v>33</v>
      </c>
      <c r="B2" s="40" t="s">
        <v>34</v>
      </c>
      <c r="C2" s="37" t="s">
        <v>3</v>
      </c>
      <c r="G2" s="40" t="s">
        <v>33</v>
      </c>
      <c r="H2" s="40" t="s">
        <v>34</v>
      </c>
      <c r="I2" s="37" t="s">
        <v>3</v>
      </c>
    </row>
    <row r="3" spans="1:14" x14ac:dyDescent="0.25">
      <c r="A3" s="11">
        <v>5</v>
      </c>
      <c r="B3" s="11">
        <v>7</v>
      </c>
      <c r="C3" s="76" t="e">
        <f ca="1">FuncMaiorMenor($A3,$B3)</f>
        <v>#NAME?</v>
      </c>
      <c r="G3" s="11">
        <v>5</v>
      </c>
      <c r="H3" s="11">
        <v>7</v>
      </c>
      <c r="I3" s="76" t="e">
        <f ca="1">FuncMaiorMenor($G3,$H3)</f>
        <v>#NAME?</v>
      </c>
    </row>
    <row r="4" spans="1:14" x14ac:dyDescent="0.25">
      <c r="A4" s="36">
        <v>41</v>
      </c>
      <c r="B4" s="36">
        <v>23</v>
      </c>
      <c r="C4" s="76" t="e">
        <f t="shared" ref="C4:C6" ca="1" si="0">FuncMaiorMenor($A4,$B4)</f>
        <v>#NAME?</v>
      </c>
      <c r="G4" s="36">
        <v>41</v>
      </c>
      <c r="H4" s="36">
        <v>23</v>
      </c>
      <c r="I4" s="76" t="e">
        <f t="shared" ref="I4:I6" ca="1" si="1">FuncMaiorMenor($G4,$H4)</f>
        <v>#NAME?</v>
      </c>
    </row>
    <row r="5" spans="1:14" x14ac:dyDescent="0.25">
      <c r="A5" s="11">
        <v>1</v>
      </c>
      <c r="B5" s="11">
        <v>1</v>
      </c>
      <c r="C5" s="76" t="e">
        <f t="shared" ca="1" si="0"/>
        <v>#NAME?</v>
      </c>
      <c r="G5" s="11">
        <v>1</v>
      </c>
      <c r="H5" s="11">
        <v>1</v>
      </c>
      <c r="I5" s="76" t="e">
        <f t="shared" ca="1" si="1"/>
        <v>#NAME?</v>
      </c>
    </row>
    <row r="6" spans="1:14" x14ac:dyDescent="0.25">
      <c r="A6" s="11">
        <v>3</v>
      </c>
      <c r="B6" s="11">
        <v>4</v>
      </c>
      <c r="C6" s="76" t="e">
        <f t="shared" ca="1" si="0"/>
        <v>#NAME?</v>
      </c>
      <c r="G6" s="11">
        <v>3</v>
      </c>
      <c r="H6" s="11">
        <v>4</v>
      </c>
      <c r="I6" s="76" t="e">
        <f t="shared" ca="1" si="1"/>
        <v>#NAME?</v>
      </c>
    </row>
    <row r="7" spans="1:14" x14ac:dyDescent="0.25">
      <c r="C7" s="60"/>
      <c r="D7" s="4"/>
    </row>
    <row r="10" spans="1:14" ht="21" x14ac:dyDescent="0.35">
      <c r="A10" s="55" t="s">
        <v>24</v>
      </c>
      <c r="B10" s="22"/>
      <c r="C10" s="22"/>
      <c r="D10" s="15"/>
      <c r="E10" s="15"/>
    </row>
    <row r="11" spans="1:14" ht="21" x14ac:dyDescent="0.35">
      <c r="A11" s="33" t="s">
        <v>13</v>
      </c>
      <c r="B11" s="21" t="s">
        <v>36</v>
      </c>
      <c r="C11" s="21"/>
      <c r="D11" s="21"/>
      <c r="E11" s="21"/>
      <c r="F11" s="21"/>
      <c r="G11" s="44"/>
      <c r="H11" s="44"/>
      <c r="I11" s="44"/>
      <c r="J11" s="44"/>
      <c r="K11" s="2"/>
      <c r="L11" s="2"/>
      <c r="M11" s="2"/>
      <c r="N11" s="2"/>
    </row>
    <row r="13" spans="1:14" x14ac:dyDescent="0.25">
      <c r="D13" s="61" t="s">
        <v>18</v>
      </c>
    </row>
    <row r="15" spans="1:14" x14ac:dyDescent="0.25">
      <c r="B15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ular_maior_menor">
                <anchor moveWithCells="1" sizeWithCells="1">
                  <from>
                    <xdr:col>6</xdr:col>
                    <xdr:colOff>76200</xdr:colOff>
                    <xdr:row>6</xdr:row>
                    <xdr:rowOff>152400</xdr:rowOff>
                  </from>
                  <to>
                    <xdr:col>7</xdr:col>
                    <xdr:colOff>504825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ar_MaiorMenor">
                <anchor moveWithCells="1" sizeWithCells="1">
                  <from>
                    <xdr:col>7</xdr:col>
                    <xdr:colOff>857250</xdr:colOff>
                    <xdr:row>7</xdr:row>
                    <xdr:rowOff>9525</xdr:rowOff>
                  </from>
                  <to>
                    <xdr:col>8</xdr:col>
                    <xdr:colOff>990600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Media_Sala</vt:lpstr>
      <vt:lpstr>Reajuste</vt:lpstr>
      <vt:lpstr>Cotacao_Dolar</vt:lpstr>
      <vt:lpstr>Conversao_kmh_ms</vt:lpstr>
      <vt:lpstr>Maior_Menor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Amauri</cp:lastModifiedBy>
  <dcterms:created xsi:type="dcterms:W3CDTF">2017-04-08T12:09:02Z</dcterms:created>
  <dcterms:modified xsi:type="dcterms:W3CDTF">2019-07-26T03:40:58Z</dcterms:modified>
</cp:coreProperties>
</file>